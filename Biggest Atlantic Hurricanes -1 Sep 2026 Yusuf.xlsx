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switch function/"/>
    </mc:Choice>
  </mc:AlternateContent>
  <xr:revisionPtr revIDLastSave="70" documentId="11_2779F9B2FCDC5B6E264834899AD3CC78A628D2C5" xr6:coauthVersionLast="47" xr6:coauthVersionMax="47" xr10:uidLastSave="{402AC076-60D7-47D1-9290-A3FD6F4A6D01}"/>
  <bookViews>
    <workbookView xWindow="-120" yWindow="-120" windowWidth="29040" windowHeight="1572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 a="1"/>
  <c r="F4" i="1"/>
  <c r="E4" i="1" a="1"/>
  <c r="E4" i="1"/>
  <c r="F5" i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F25" i="1" a="1"/>
  <c r="F25" i="1"/>
  <c r="F26" i="1" a="1"/>
  <c r="F26" i="1"/>
  <c r="E26" i="1" a="1"/>
  <c r="E26" i="1"/>
  <c r="E25" i="1" a="1"/>
  <c r="E25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<sst xmlns="http://schemas.openxmlformats.org/spreadsheetml/2006/main" count="53" uniqueCount="53">
  <si>
    <t>Biggest Atlantic Hurricanes</t>
  </si>
  <si>
    <t>Name</t>
  </si>
  <si>
    <t>Start Date</t>
  </si>
  <si>
    <t>Damage 
(USD 
Millions)</t>
  </si>
  <si>
    <t>Category*</t>
  </si>
  <si>
    <t>Max 
Wind 
Speed</t>
  </si>
  <si>
    <t>Ifs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</si>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</sst>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41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E4" sqref="E4:F4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18.140625" bestFit="1" customWidth="1"/>
    <col min="6" max="7" width="12.5703125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t="s">
        <v>6</v>
      </c>
    </row>
    <row r="4" spans="1:9">
      <c r="A4" t="s">
        <v>7</v>
      </c>
      <c r="B4" t="s">
        <v>8</v>
      </c>
      <c r="C4" s="3">
        <v>12</v>
      </c>
      <c r="D4">
        <v>3</v>
      </c>
      <c r="E4" s="6" cm="1">
        <f t="array" ref="E4">_xlfn.SWITCH(D4, 1, 95, 2, 110, 3, 129, 4, 156, 5, "157 and over", "Unknown Category")</f>
        <v>129</v>
      </c>
      <c r="F4" cm="1">
        <f t="array" ref="F4">_xlfn.IFS(D4=1, 95, D4=2, 110, D4=3, 129, D4=4, 156, D4=5, "157 and over")</f>
        <v>129</v>
      </c>
      <c r="H4" t="s">
        <v>9</v>
      </c>
    </row>
    <row r="5" spans="1:9">
      <c r="A5" t="s">
        <v>10</v>
      </c>
      <c r="B5" t="s">
        <v>11</v>
      </c>
      <c r="C5" s="3">
        <v>1</v>
      </c>
      <c r="D5">
        <v>3</v>
      </c>
      <c r="E5" s="6" cm="1">
        <f t="array" ref="E5">_xlfn.SWITCH(D5, 1, 95, 2, 110, 3, 129, 4, 156, 5, "157 and over", "Unknown Category")</f>
        <v>129</v>
      </c>
      <c r="F5" cm="1">
        <f t="array" ref="F5">_xlfn.IFS(D5=1, 95, D5=2, 110, D5=3, 129, D5=4, 156, D5=5, "157 and over")</f>
        <v>129</v>
      </c>
      <c r="H5" s="1" t="s">
        <v>12</v>
      </c>
      <c r="I5" s="1" t="s">
        <v>13</v>
      </c>
    </row>
    <row r="6" spans="1:9">
      <c r="A6" t="s">
        <v>14</v>
      </c>
      <c r="B6" t="s">
        <v>15</v>
      </c>
      <c r="C6" s="3">
        <v>5</v>
      </c>
      <c r="D6">
        <v>4</v>
      </c>
      <c r="E6" s="6" cm="1">
        <f t="array" ref="E6">_xlfn.SWITCH(D6, 1, 95, 2, 110, 3, 129, 4, 156, 5, "157 and over", "Unknown Category")</f>
        <v>156</v>
      </c>
      <c r="F6" cm="1">
        <f t="array" ref="F6">_xlfn.IFS(D6=1, 95, D6=2, 110, D6=3, 129, D6=4, 156, D6=5, "157 and over")</f>
        <v>156</v>
      </c>
      <c r="H6">
        <v>5</v>
      </c>
      <c r="I6" t="s">
        <v>16</v>
      </c>
    </row>
    <row r="7" spans="1:9">
      <c r="A7" t="s">
        <v>17</v>
      </c>
      <c r="B7" t="s">
        <v>18</v>
      </c>
      <c r="C7" s="3">
        <v>20</v>
      </c>
      <c r="D7">
        <v>4</v>
      </c>
      <c r="E7" s="6" cm="1">
        <f t="array" ref="E7">_xlfn.SWITCH(D7, 1, 95, 2, 110, 3, 129, 4, 156, 5, "157 and over", "Unknown Category")</f>
        <v>156</v>
      </c>
      <c r="F7" cm="1">
        <f t="array" ref="F7">_xlfn.IFS(D7=1, 95, D7=2, 110, D7=3, 129, D7=4, 156, D7=5, "157 and over")</f>
        <v>156</v>
      </c>
      <c r="H7">
        <v>4</v>
      </c>
      <c r="I7" s="4">
        <v>156</v>
      </c>
    </row>
    <row r="8" spans="1:9">
      <c r="A8" t="s">
        <v>19</v>
      </c>
      <c r="B8" t="s">
        <v>20</v>
      </c>
      <c r="C8" s="3">
        <v>20</v>
      </c>
      <c r="D8">
        <v>4</v>
      </c>
      <c r="E8" s="6" cm="1">
        <f t="array" ref="E8">_xlfn.SWITCH(D8, 1, 95, 2, 110, 3, 129, 4, 156, 5, "157 and over", "Unknown Category")</f>
        <v>156</v>
      </c>
      <c r="F8" cm="1">
        <f t="array" ref="F8">_xlfn.IFS(D8=1, 95, D8=2, 110, D8=3, 129, D8=4, 156, D8=5, "157 and over")</f>
        <v>156</v>
      </c>
      <c r="H8">
        <v>3</v>
      </c>
      <c r="I8" s="4">
        <v>129</v>
      </c>
    </row>
    <row r="9" spans="1:9">
      <c r="A9" t="s">
        <v>21</v>
      </c>
      <c r="B9" t="s">
        <v>22</v>
      </c>
      <c r="C9" s="3">
        <v>50</v>
      </c>
      <c r="D9">
        <v>3</v>
      </c>
      <c r="E9" s="6" cm="1">
        <f t="array" ref="E9">_xlfn.SWITCH(D9, 1, 95, 2, 110, 3, 129, 4, 156, 5, "157 and over", "Unknown Category")</f>
        <v>129</v>
      </c>
      <c r="F9" cm="1">
        <f t="array" ref="F9">_xlfn.IFS(D9=1, 95, D9=2, 110, D9=3, 129, D9=4, 156, D9=5, "157 and over")</f>
        <v>129</v>
      </c>
      <c r="H9">
        <v>2</v>
      </c>
      <c r="I9" s="4">
        <v>110</v>
      </c>
    </row>
    <row r="10" spans="1:9">
      <c r="A10" t="s">
        <v>23</v>
      </c>
      <c r="B10" t="s">
        <v>24</v>
      </c>
      <c r="C10" s="3">
        <v>100</v>
      </c>
      <c r="D10">
        <v>5</v>
      </c>
      <c r="E10" s="6" t="str" cm="1">
        <f t="array" ref="E10">_xlfn.SWITCH(D10, 1, 95, 2, 110, 3, 129, 4, 156, 5, "157 and over", "Unknown Category")</f>
        <v>157 and over</v>
      </c>
      <c r="F10" t="str" cm="1">
        <f t="array" ref="F10">_xlfn.IFS(D10=1, 95, D10=2, 110, D10=3, 129, D10=4, 156, D10=5, "157 and over")</f>
        <v>157 and over</v>
      </c>
      <c r="H10">
        <v>1</v>
      </c>
      <c r="I10" s="4">
        <v>95</v>
      </c>
    </row>
    <row r="11" spans="1:9">
      <c r="A11" t="s">
        <v>25</v>
      </c>
      <c r="B11" t="s">
        <v>26</v>
      </c>
      <c r="C11" s="3">
        <v>50</v>
      </c>
      <c r="D11">
        <v>4</v>
      </c>
      <c r="E11" s="6" cm="1">
        <f t="array" ref="E11">_xlfn.SWITCH(D11, 1, 95, 2, 110, 3, 129, 4, 156, 5, "157 and over", "Unknown Category")</f>
        <v>156</v>
      </c>
      <c r="F11" cm="1">
        <f t="array" ref="F11">_xlfn.IFS(D11=1, 95, D11=2, 110, D11=3, 129, D11=4, 156, D11=5, "157 and over")</f>
        <v>156</v>
      </c>
    </row>
    <row r="12" spans="1:9">
      <c r="A12" t="s">
        <v>27</v>
      </c>
      <c r="B12" t="s">
        <v>28</v>
      </c>
      <c r="C12" s="3">
        <v>7.5</v>
      </c>
      <c r="D12">
        <v>4</v>
      </c>
      <c r="E12" s="6" cm="1">
        <f t="array" ref="E12">_xlfn.SWITCH(D12, 1, 95, 2, 110, 3, 129, 4, 156, 5, "157 and over", "Unknown Category")</f>
        <v>156</v>
      </c>
      <c r="F12" cm="1">
        <f t="array" ref="F12">_xlfn.IFS(D12=1, 95, D12=2, 110, D12=3, 129, D12=4, 156, D12=5, "157 and over")</f>
        <v>156</v>
      </c>
    </row>
    <row r="13" spans="1:9">
      <c r="A13" t="s">
        <v>29</v>
      </c>
      <c r="B13" t="s">
        <v>30</v>
      </c>
      <c r="C13" s="3">
        <v>40</v>
      </c>
      <c r="D13">
        <v>5</v>
      </c>
      <c r="E13" s="6" t="str" cm="1">
        <f t="array" ref="E13">_xlfn.SWITCH(D13, 1, 95, 2, 110, 3, 129, 4, 156, 5, "157 and over", "Unknown Category")</f>
        <v>157 and over</v>
      </c>
      <c r="F13" t="str" cm="1">
        <f t="array" ref="F13">_xlfn.IFS(D13=1, 95, D13=2, 110, D13=3, 129, D13=4, 156, D13=5, "157 and over")</f>
        <v>157 and over</v>
      </c>
    </row>
    <row r="14" spans="1:9">
      <c r="A14" t="s">
        <v>31</v>
      </c>
      <c r="B14" t="s">
        <v>32</v>
      </c>
      <c r="C14" s="3">
        <v>2.6</v>
      </c>
      <c r="D14">
        <v>2</v>
      </c>
      <c r="E14" s="6" cm="1">
        <f t="array" ref="E14">_xlfn.SWITCH(D14, 1, 95, 2, 110, 3, 129, 4, 156, 5, "157 and over", "Unknown Category")</f>
        <v>110</v>
      </c>
      <c r="F14" cm="1">
        <f t="array" ref="F14">_xlfn.IFS(D14=1, 95, D14=2, 110, D14=3, 129, D14=4, 156, D14=5, "157 and over")</f>
        <v>110</v>
      </c>
    </row>
    <row r="15" spans="1:9">
      <c r="A15" t="s">
        <v>33</v>
      </c>
      <c r="B15" t="s">
        <v>34</v>
      </c>
      <c r="C15" s="3">
        <v>16</v>
      </c>
      <c r="D15">
        <v>1</v>
      </c>
      <c r="E15" s="6" cm="1">
        <f t="array" ref="E15">_xlfn.SWITCH(D15, 1, 95, 2, 110, 3, 129, 4, 156, 5, "157 and over", "Unknown Category")</f>
        <v>95</v>
      </c>
      <c r="F15" cm="1">
        <f t="array" ref="F15">_xlfn.IFS(D15=1, 95, D15=2, 110, D15=3, 129, D15=4, 156, D15=5, "157 and over")</f>
        <v>95</v>
      </c>
    </row>
    <row r="16" spans="1:9">
      <c r="A16" t="s">
        <v>35</v>
      </c>
      <c r="B16" t="s">
        <v>36</v>
      </c>
      <c r="C16" s="3">
        <v>529</v>
      </c>
      <c r="D16">
        <v>4</v>
      </c>
      <c r="E16" s="6" cm="1">
        <f t="array" ref="E16">_xlfn.SWITCH(D16, 1, 95, 2, 110, 3, 129, 4, 156, 5, "157 and over", "Unknown Category")</f>
        <v>156</v>
      </c>
      <c r="F16" cm="1">
        <f t="array" ref="F16">_xlfn.IFS(D16=1, 95, D16=2, 110, D16=3, 129, D16=4, 156, D16=5, "157 and over")</f>
        <v>156</v>
      </c>
    </row>
    <row r="17" spans="1:6">
      <c r="A17" t="s">
        <v>37</v>
      </c>
      <c r="B17" t="s">
        <v>38</v>
      </c>
      <c r="C17" s="3">
        <v>1800</v>
      </c>
      <c r="D17">
        <v>2</v>
      </c>
      <c r="E17" s="6" cm="1">
        <f t="array" ref="E17">_xlfn.SWITCH(D17, 1, 95, 2, 110, 3, 129, 4, 156, 5, "157 and over", "Unknown Category")</f>
        <v>110</v>
      </c>
      <c r="F17" cm="1">
        <f t="array" ref="F17">_xlfn.IFS(D17=1, 95, D17=2, 110, D17=3, 129, D17=4, 156, D17=5, "157 and over")</f>
        <v>110</v>
      </c>
    </row>
    <row r="18" spans="1:6">
      <c r="A18" t="s">
        <v>39</v>
      </c>
      <c r="B18" t="s">
        <v>40</v>
      </c>
      <c r="C18" s="3">
        <v>1540</v>
      </c>
      <c r="D18">
        <v>5</v>
      </c>
      <c r="E18" s="6" t="str" cm="1">
        <f t="array" ref="E18">_xlfn.SWITCH(D18, 1, 95, 2, 110, 3, 129, 4, 156, 5, "157 and over", "Unknown Category")</f>
        <v>157 and over</v>
      </c>
      <c r="F18" t="str" cm="1">
        <f t="array" ref="F18">_xlfn.IFS(D18=1, 95, D18=2, 110, D18=3, 129, D18=4, 156, D18=5, "157 and over")</f>
        <v>157 and over</v>
      </c>
    </row>
    <row r="19" spans="1:6">
      <c r="A19" t="s">
        <v>41</v>
      </c>
      <c r="B19" t="s">
        <v>42</v>
      </c>
      <c r="C19" s="3">
        <v>594</v>
      </c>
      <c r="D19">
        <v>1</v>
      </c>
      <c r="E19" s="6" cm="1">
        <f t="array" ref="E19">_xlfn.SWITCH(D19, 1, 95, 2, 110, 3, 129, 4, 156, 5, "157 and over", "Unknown Category")</f>
        <v>95</v>
      </c>
      <c r="F19" cm="1">
        <f t="array" ref="F19">_xlfn.IFS(D19=1, 95, D19=2, 110, D19=3, 129, D19=4, 156, D19=5, "157 and over")</f>
        <v>95</v>
      </c>
    </row>
    <row r="20" spans="1:6">
      <c r="A20" t="s">
        <v>43</v>
      </c>
      <c r="B20" t="s">
        <v>44</v>
      </c>
      <c r="C20" s="3">
        <v>6200</v>
      </c>
      <c r="D20">
        <v>5</v>
      </c>
      <c r="E20" s="6" t="str" cm="1">
        <f t="array" ref="E20">_xlfn.SWITCH(D20, 1, 95, 2, 110, 3, 129, 4, 156, 5, "157 and over", "Unknown Category")</f>
        <v>157 and over</v>
      </c>
      <c r="F20" t="str" cm="1">
        <f t="array" ref="F20">_xlfn.IFS(D20=1, 95, D20=2, 110, D20=3, 129, D20=4, 156, D20=5, "157 and over")</f>
        <v>157 and over</v>
      </c>
    </row>
    <row r="21" spans="1:6">
      <c r="A21" t="s">
        <v>45</v>
      </c>
      <c r="B21" t="s">
        <v>46</v>
      </c>
      <c r="C21" s="3">
        <v>7660</v>
      </c>
      <c r="D21">
        <v>3</v>
      </c>
      <c r="E21" s="6" cm="1">
        <f t="array" ref="E21">_xlfn.SWITCH(D21, 1, 95, 2, 110, 3, 129, 4, 156, 5, "157 and over", "Unknown Category")</f>
        <v>129</v>
      </c>
      <c r="F21" cm="1">
        <f t="array" ref="F21">_xlfn.IFS(D21=1, 95, D21=2, 110, D21=3, 129, D21=4, 156, D21=5, "157 and over")</f>
        <v>129</v>
      </c>
    </row>
    <row r="22" spans="1:6">
      <c r="A22" t="s">
        <v>47</v>
      </c>
      <c r="B22" t="s">
        <v>48</v>
      </c>
      <c r="C22" s="3">
        <v>108000</v>
      </c>
      <c r="D22">
        <v>5</v>
      </c>
      <c r="E22" s="6" t="str" cm="1">
        <f t="array" ref="E22">_xlfn.SWITCH(D22, 1, 95, 2, 110, 3, 129, 4, 156, 5, "157 and over", "Unknown Category")</f>
        <v>157 and over</v>
      </c>
      <c r="F22" t="str" cm="1">
        <f t="array" ref="F22">_xlfn.IFS(D22=1, 95, D22=2, 110, D22=3, 129, D22=4, 156, D22=5, "157 and over")</f>
        <v>157 and over</v>
      </c>
    </row>
    <row r="23" spans="1:6">
      <c r="A23" t="s">
        <v>49</v>
      </c>
      <c r="B23" t="s">
        <v>50</v>
      </c>
      <c r="C23" s="3">
        <v>3960</v>
      </c>
      <c r="D23">
        <v>1</v>
      </c>
      <c r="E23" s="6" cm="1">
        <f t="array" ref="E23">_xlfn.SWITCH(D23, 1, 95, 2, 110, 3, 129, 4, 156, 5, "157 and over", "Unknown Category")</f>
        <v>95</v>
      </c>
      <c r="F23" cm="1">
        <f t="array" ref="F23">_xlfn.IFS(D23=1, 95, D23=2, 110, D23=3, 129, D23=4, 156, D23=5, "157 and over")</f>
        <v>95</v>
      </c>
    </row>
    <row r="24" spans="1:6">
      <c r="A24" t="s">
        <v>51</v>
      </c>
      <c r="B24" t="s">
        <v>52</v>
      </c>
      <c r="C24" s="3">
        <v>300000</v>
      </c>
      <c r="D24">
        <v>5</v>
      </c>
      <c r="E24" s="6" t="str" cm="1">
        <f t="array" ref="E24">_xlfn.SWITCH(D24, 1, 95, 2, 110, 3, 129, 4, 156, 5, "157 and over", "Unknown Category")</f>
        <v>157 and over</v>
      </c>
      <c r="F24" t="str" cm="1">
        <f t="array" ref="F24">_xlfn.IFS(D24=1, 95, D24=2, 110, D24=3, 129, D24=4, 156, D24=5, "157 and over")</f>
        <v>157 and over</v>
      </c>
    </row>
    <row r="25" spans="1:6">
      <c r="C25" s="3"/>
      <c r="D25">
        <v>10</v>
      </c>
      <c r="E25" s="6" t="str" cm="1">
        <f t="array" ref="E25">_xlfn.SWITCH(D25, 1, 95, 2, 110, 3, 129, 4, 156, 5, "157 and over", "Unknown Category")</f>
        <v>Unknown Category</v>
      </c>
      <c r="F25" t="e" cm="1">
        <f t="array" ref="F25">_xlfn.IFS(D25=1, 95, D25=2, 110, D25=3, 129, D25=4, 156, D25=5, "157 and over")</f>
        <v>#N/A</v>
      </c>
    </row>
    <row r="26" spans="1:6">
      <c r="C26" s="3"/>
      <c r="D26">
        <v>95</v>
      </c>
      <c r="E26" s="6" t="str" cm="1">
        <f t="array" ref="E26">_xlfn.SWITCH(D26, 1, 95, 2, 110, 3, 129, 4, 156, 5, "157 and over", "Unknown Category")</f>
        <v>Unknown Category</v>
      </c>
      <c r="F26" t="e" cm="1">
        <f t="array" ref="F26">_xlfn.IFS(D26=1, 95, D26=2, 110, D26=3, 129, D26=4, 156, D26=5, "157 and over")</f>
        <v>#N/A</v>
      </c>
    </row>
    <row r="27" spans="1:6">
      <c r="C27" s="3"/>
    </row>
    <row r="28" spans="1:6">
      <c r="C28" s="3"/>
    </row>
    <row r="29" spans="1:6">
      <c r="C29" s="3"/>
    </row>
    <row r="30" spans="1:6">
      <c r="C30" s="3"/>
    </row>
    <row r="31" spans="1:6">
      <c r="C31" s="3"/>
    </row>
    <row r="32" spans="1:6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CE018E3A90F2469D89D578DC33637F" ma:contentTypeVersion="10" ma:contentTypeDescription="Create a new document." ma:contentTypeScope="" ma:versionID="f8b47bdbaf32fd0463b43a2b6b003424">
  <xsd:schema xmlns:xsd="http://www.w3.org/2001/XMLSchema" xmlns:xs="http://www.w3.org/2001/XMLSchema" xmlns:p="http://schemas.microsoft.com/office/2006/metadata/properties" xmlns:ns2="678f94ae-5389-45c7-b174-e80019bb6151" xmlns:ns3="c637179e-070a-4260-aa90-62567a10cc04" targetNamespace="http://schemas.microsoft.com/office/2006/metadata/properties" ma:root="true" ma:fieldsID="f49e22d403a780ed1e4992e0a3483418" ns2:_="" ns3:_="">
    <xsd:import namespace="678f94ae-5389-45c7-b174-e80019bb6151"/>
    <xsd:import namespace="c637179e-070a-4260-aa90-62567a10cc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f94ae-5389-45c7-b174-e80019bb6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7179e-070a-4260-aa90-62567a10cc0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7ac909d-2580-4784-bdba-c1250408a2c9}" ma:internalName="TaxCatchAll" ma:showField="CatchAllData" ma:web="c637179e-070a-4260-aa90-62567a10cc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8f94ae-5389-45c7-b174-e80019bb6151">
      <Terms xmlns="http://schemas.microsoft.com/office/infopath/2007/PartnerControls"/>
    </lcf76f155ced4ddcb4097134ff3c332f>
    <TaxCatchAll xmlns="c637179e-070a-4260-aa90-62567a10cc04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AAB4FDAA-6870-4E0F-B3E8-956FC278F19F}"/>
</file>

<file path=customXml/itemProps2.xml><?xml version="1.0" encoding="utf-8"?>
<ds:datastoreItem xmlns:ds="http://schemas.openxmlformats.org/officeDocument/2006/customXml" ds:itemID="{3D4E24B2-8FB1-41D6-A0B3-EA0C5EC943D2}"/>
</file>

<file path=customXml/itemProps3.xml><?xml version="1.0" encoding="utf-8"?>
<ds:datastoreItem xmlns:ds="http://schemas.openxmlformats.org/officeDocument/2006/customXml" ds:itemID="{00DA10D2-1FFF-490D-B4DA-8729470684F4}"/>
</file>

<file path=customXml/itemProps4.xml><?xml version="1.0" encoding="utf-8"?>
<ds:datastoreItem xmlns:ds="http://schemas.openxmlformats.org/officeDocument/2006/customXml" ds:itemID="{DCED2CD7-AB5E-404D-849A-F793ABBC6F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Yusuf Satilmis</cp:lastModifiedBy>
  <cp:revision/>
  <dcterms:created xsi:type="dcterms:W3CDTF">2017-10-17T14:59:20Z</dcterms:created>
  <dcterms:modified xsi:type="dcterms:W3CDTF">2026-09-16T13:16:37Z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0x0101005FCE018E3A90F2469D89D578DC33637F</vt:lpwstr>
  </property>
  <property fmtid="{D5CDD505-2E9C-101B-9397-08002B2CF9AE}" pid="3" name="MediaServiceImageTags">
    <vt:lpwstr/>
  </property>
</Properties>
</file>